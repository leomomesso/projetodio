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/Desktop/"/>
    </mc:Choice>
  </mc:AlternateContent>
  <xr:revisionPtr revIDLastSave="0" documentId="8_{44EE744A-97F8-D843-A94E-61185A0BC921}" xr6:coauthVersionLast="47" xr6:coauthVersionMax="47" xr10:uidLastSave="{00000000-0000-0000-0000-000000000000}"/>
  <bookViews>
    <workbookView xWindow="0" yWindow="660" windowWidth="29400" windowHeight="17320" xr2:uid="{B418463C-2CB6-5645-B00F-3E5D9DFF3EF7}"/>
  </bookViews>
  <sheets>
    <sheet name="APP" sheetId="1" r:id="rId1"/>
    <sheet name="APOIO" sheetId="2" r:id="rId2"/>
  </sheets>
  <definedNames>
    <definedName name="aporte">APP!$D$18</definedName>
    <definedName name="patrimonio">APP!$D$21</definedName>
    <definedName name="qtd_anos">APP!$D$19</definedName>
    <definedName name="rendimento_carteira">APP!$D$14</definedName>
    <definedName name="salario">APP!$B$13</definedName>
    <definedName name="sugestao_investimento">APP!$D$15</definedName>
    <definedName name="taxa_mensal">APP!$D$20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D39" i="1" s="1"/>
  <c r="C40" i="1"/>
  <c r="C35" i="1"/>
  <c r="D35" i="1" s="1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A5" i="2"/>
  <c r="A6" i="2"/>
  <c r="A7" i="2"/>
  <c r="A8" i="2"/>
  <c r="A3" i="2"/>
  <c r="C32" i="1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D40" i="1" l="1"/>
  <c r="D38" i="1"/>
  <c r="D36" i="1"/>
  <c r="D37" i="1"/>
  <c r="D41" i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<sst xmlns="http://schemas.openxmlformats.org/spreadsheetml/2006/main" count="69" uniqueCount="34">
  <si>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</si>
  <si>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</si>
  <si>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</si>
  <si>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Quanto de patrimonio acumulado terei?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</si>
  <si>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</si>
  <si>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</si>
  <si>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</si>
  <si>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</si>
  <si>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</si>
  <si>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</si>
  <si>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</si>
  <si>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</si>
  <si>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</si>
  <si>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</si>
  <si>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</si>
  <si>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</si>
  <si>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Agressivo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</si>
  <si>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</si>
  <si>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</si>
  <si>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</si>
  <si>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</si>
  <si>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</si>
  <si>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</si>
  <si>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</si>
  <si>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</si>
  <si>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</si>
  <si>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</si>
  <si>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</si>
  <si>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</si>
  <si>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>HÍBRIDOS</t>
  </si>
  <si>
    <t>TIPOS DE FII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</si>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</sst>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0" formatCode="&quot;R$&quot;\ #,##0.00"/>
  </numFmts>
  <fonts count="12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8"/>
      <color theme="0"/>
      <name val="Aptos Narrow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8"/>
      <color theme="0"/>
      <name val="Helvetica"/>
      <family val="2"/>
    </font>
    <font>
      <b/>
      <sz val="20"/>
      <color theme="0"/>
      <name val="Helvetica"/>
      <family val="2"/>
    </font>
    <font>
      <b/>
      <sz val="12"/>
      <color theme="0"/>
      <name val="Helvetica"/>
      <family val="2"/>
    </font>
    <font>
      <sz val="12"/>
      <color rgb="FF9C570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43C6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0">
    <xf numFmtId="0" fontId="0" fillId="0" borderId="0" xfId="0"/>
    <xf numFmtId="0" fontId="2" fillId="0" borderId="0" xfId="0" applyFont="1"/>
    <xf numFmtId="9" fontId="0" fillId="0" borderId="0" xfId="0" applyNumberFormat="1" applyAlignment="1">
      <alignment horizontal="center"/>
    </xf>
    <xf numFmtId="170" fontId="4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0" fontId="4" fillId="0" borderId="10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5" borderId="2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left" indent="3"/>
    </xf>
    <xf numFmtId="0" fontId="6" fillId="4" borderId="6" xfId="0" applyFont="1" applyFill="1" applyBorder="1" applyAlignment="1">
      <alignment horizontal="left" indent="3"/>
    </xf>
    <xf numFmtId="0" fontId="6" fillId="4" borderId="8" xfId="0" applyFont="1" applyFill="1" applyBorder="1" applyAlignment="1">
      <alignment horizontal="left" indent="3"/>
    </xf>
    <xf numFmtId="0" fontId="6" fillId="4" borderId="9" xfId="0" applyFont="1" applyFill="1" applyBorder="1" applyAlignment="1">
      <alignment horizontal="left" indent="3"/>
    </xf>
    <xf numFmtId="0" fontId="6" fillId="4" borderId="11" xfId="0" applyFont="1" applyFill="1" applyBorder="1" applyAlignment="1">
      <alignment horizontal="left" indent="3"/>
    </xf>
    <xf numFmtId="0" fontId="6" fillId="4" borderId="12" xfId="0" applyFont="1" applyFill="1" applyBorder="1" applyAlignment="1">
      <alignment horizontal="left" indent="3"/>
    </xf>
    <xf numFmtId="0" fontId="8" fillId="5" borderId="1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170" fontId="4" fillId="4" borderId="13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indent="3"/>
    </xf>
    <xf numFmtId="0" fontId="7" fillId="4" borderId="9" xfId="0" applyFont="1" applyFill="1" applyBorder="1" applyAlignment="1">
      <alignment horizontal="left" indent="3"/>
    </xf>
    <xf numFmtId="8" fontId="4" fillId="4" borderId="10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indent="3"/>
    </xf>
    <xf numFmtId="0" fontId="7" fillId="4" borderId="12" xfId="0" applyFont="1" applyFill="1" applyBorder="1" applyAlignment="1">
      <alignment horizontal="left" indent="3"/>
    </xf>
    <xf numFmtId="8" fontId="4" fillId="4" borderId="13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indent="3"/>
    </xf>
    <xf numFmtId="170" fontId="0" fillId="4" borderId="15" xfId="0" applyNumberFormat="1" applyFill="1" applyBorder="1" applyAlignment="1">
      <alignment horizontal="center" vertical="center"/>
    </xf>
    <xf numFmtId="170" fontId="0" fillId="4" borderId="16" xfId="0" applyNumberForma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left" indent="3"/>
    </xf>
    <xf numFmtId="170" fontId="0" fillId="4" borderId="18" xfId="0" applyNumberForma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indent="3"/>
    </xf>
    <xf numFmtId="170" fontId="0" fillId="4" borderId="20" xfId="0" applyNumberFormat="1" applyFill="1" applyBorder="1" applyAlignment="1">
      <alignment horizontal="center" vertical="center"/>
    </xf>
    <xf numFmtId="170" fontId="0" fillId="4" borderId="21" xfId="0" applyNumberFormat="1" applyFill="1" applyBorder="1" applyAlignment="1">
      <alignment horizontal="center" vertical="center"/>
    </xf>
    <xf numFmtId="0" fontId="1" fillId="2" borderId="0" xfId="1"/>
    <xf numFmtId="0" fontId="0" fillId="4" borderId="0" xfId="0" applyFill="1"/>
    <xf numFmtId="170" fontId="0" fillId="4" borderId="0" xfId="0" applyNumberFormat="1" applyFill="1" applyAlignment="1">
      <alignment horizontal="center"/>
    </xf>
    <xf numFmtId="0" fontId="11" fillId="2" borderId="0" xfId="1" applyFont="1" applyBorder="1" applyAlignment="1">
      <alignment horizontal="left"/>
    </xf>
    <xf numFmtId="0" fontId="11" fillId="2" borderId="0" xfId="1" applyFont="1" applyAlignment="1">
      <alignment horizontal="center"/>
    </xf>
    <xf numFmtId="0" fontId="7" fillId="4" borderId="0" xfId="0" applyFont="1" applyFill="1"/>
    <xf numFmtId="170" fontId="7" fillId="4" borderId="0" xfId="0" applyNumberFormat="1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/>
    <xf numFmtId="170" fontId="0" fillId="6" borderId="0" xfId="0" applyNumberFormat="1" applyFill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343C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5-4748-BB14-E5CE6ABE3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Helvetic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12700</xdr:colOff>
      <xdr:row>10</xdr:row>
      <xdr:rowOff>12700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A1C4529-6FE3-5088-0A39-AF4ABED5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0"/>
          <a:ext cx="6121400" cy="20447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41</xdr:row>
      <xdr:rowOff>38100</xdr:rowOff>
    </xdr:from>
    <xdr:to>
      <xdr:col>3</xdr:col>
      <xdr:colOff>1257300</xdr:colOff>
      <xdr:row>65</xdr:row>
      <xdr:rowOff>177800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7BB606F-EA4A-8B63-6F4C-C0885E6EF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BAD9-AF77-6341-8AD2-40299CD31879}">
  <dimension ref="A11:XFD41"/>
  <sheetViews>
    <sheetView showGridLines="0" tabSelected="1" topLeftCell="A30" workbookViewId="0">
      <selection activeCell="D34" sqref="D34"/>
    </sheetView>
  </sheetViews>
  <sheetFormatPr baseColWidth="10" defaultColWidth="0" defaultRowHeight="16" x14ac:dyDescent="0.2"/>
  <cols>
    <col min="1" max="1" width="4.83203125" customWidth="1"/>
    <col min="2" max="2" width="42" customWidth="1"/>
    <col min="3" max="3" width="21.5" customWidth="1"/>
    <col min="4" max="4" width="16.6640625" customWidth="1"/>
    <col min="5" max="5" width="4.83203125" customWidth="1"/>
    <col min="6" max="6" width="5.33203125" hidden="1" customWidth="1"/>
    <col min="7" max="7" width="3.83203125" hidden="1" customWidth="1"/>
    <col min="8" max="8" width="2.83203125" hidden="1"/>
    <col min="9" max="16380" width="10.83203125" hidden="1"/>
    <col min="16381" max="16381" width="6.5" hidden="1"/>
    <col min="16382" max="16382" width="10.1640625" hidden="1"/>
    <col min="16383" max="16383" width="7.83203125" hidden="1"/>
    <col min="16384" max="16384" width="4.6640625" hidden="1"/>
  </cols>
  <sheetData>
    <row r="11" spans="2:4" ht="23" customHeight="1" thickBot="1" x14ac:dyDescent="0.25"/>
    <row r="12" spans="2:4" ht="42" customHeight="1" x14ac:dyDescent="0.2">
      <c r="B12" s="15" t="s">
        <v>15</v>
      </c>
      <c r="C12" s="16"/>
      <c r="D12" s="8"/>
    </row>
    <row r="13" spans="2:4" ht="17" customHeight="1" x14ac:dyDescent="0.2">
      <c r="B13" s="9" t="s">
        <v>14</v>
      </c>
      <c r="C13" s="10"/>
      <c r="D13" s="3">
        <v>5000</v>
      </c>
    </row>
    <row r="14" spans="2:4" ht="17" customHeight="1" x14ac:dyDescent="0.2">
      <c r="B14" s="11" t="s">
        <v>13</v>
      </c>
      <c r="C14" s="12"/>
      <c r="D14" s="5">
        <v>6.0000000000000001E-3</v>
      </c>
    </row>
    <row r="15" spans="2:4" ht="17" customHeight="1" thickBot="1" x14ac:dyDescent="0.25">
      <c r="B15" s="13" t="s">
        <v>33</v>
      </c>
      <c r="C15" s="14"/>
      <c r="D15" s="20">
        <f>D13*30%</f>
        <v>1500</v>
      </c>
    </row>
    <row r="16" spans="2:4" ht="17" customHeight="1" thickBot="1" x14ac:dyDescent="0.25"/>
    <row r="17" spans="1:4" ht="41" customHeight="1" x14ac:dyDescent="0.2">
      <c r="B17" s="17" t="s">
        <v>5</v>
      </c>
      <c r="C17" s="18"/>
      <c r="D17" s="6"/>
    </row>
    <row r="18" spans="1:4" x14ac:dyDescent="0.2">
      <c r="B18" s="9" t="s">
        <v>0</v>
      </c>
      <c r="C18" s="10"/>
      <c r="D18" s="3">
        <v>1500</v>
      </c>
    </row>
    <row r="19" spans="1:4" x14ac:dyDescent="0.2">
      <c r="B19" s="11" t="s">
        <v>1</v>
      </c>
      <c r="C19" s="12"/>
      <c r="D19" s="4">
        <v>5</v>
      </c>
    </row>
    <row r="20" spans="1:4" x14ac:dyDescent="0.2">
      <c r="B20" s="11" t="s">
        <v>2</v>
      </c>
      <c r="C20" s="12"/>
      <c r="D20" s="5">
        <v>1.0789999999999999E-2</v>
      </c>
    </row>
    <row r="21" spans="1:4" x14ac:dyDescent="0.2">
      <c r="B21" s="21" t="s">
        <v>3</v>
      </c>
      <c r="C21" s="22"/>
      <c r="D21" s="23">
        <f>FV(taxa_mensal,qtd_anos*12,aporte*-1)</f>
        <v>125665.37099773147</v>
      </c>
    </row>
    <row r="22" spans="1:4" ht="17" thickBot="1" x14ac:dyDescent="0.25">
      <c r="B22" s="24" t="s">
        <v>4</v>
      </c>
      <c r="C22" s="25"/>
      <c r="D22" s="26">
        <f>patrimonio*rendimento_carteira</f>
        <v>753.9922259863888</v>
      </c>
    </row>
    <row r="23" spans="1:4" ht="17" thickBot="1" x14ac:dyDescent="0.25"/>
    <row r="24" spans="1:4" ht="26" x14ac:dyDescent="0.2">
      <c r="B24" s="17" t="s">
        <v>11</v>
      </c>
      <c r="C24" s="18"/>
      <c r="D24" s="19" t="s">
        <v>12</v>
      </c>
    </row>
    <row r="25" spans="1:4" x14ac:dyDescent="0.2">
      <c r="A25" s="1">
        <v>2</v>
      </c>
      <c r="B25" s="27" t="s">
        <v>6</v>
      </c>
      <c r="C25" s="28">
        <f>FV($D$20,$A25*12,$D$18*-1)</f>
        <v>40841.440946467825</v>
      </c>
      <c r="D25" s="29">
        <f>C25*rendimento_carteira</f>
        <v>245.04864567880696</v>
      </c>
    </row>
    <row r="26" spans="1:4" x14ac:dyDescent="0.2">
      <c r="A26" s="1">
        <v>5</v>
      </c>
      <c r="B26" s="30" t="s">
        <v>7</v>
      </c>
      <c r="C26" s="31">
        <f>FV($D$20,$A26*12,$D$18*-1)</f>
        <v>125665.37099773147</v>
      </c>
      <c r="D26" s="29">
        <f>C26*rendimento_carteira</f>
        <v>753.9922259863888</v>
      </c>
    </row>
    <row r="27" spans="1:4" x14ac:dyDescent="0.2">
      <c r="A27" s="1">
        <v>10</v>
      </c>
      <c r="B27" s="30" t="s">
        <v>8</v>
      </c>
      <c r="C27" s="31">
        <f>FV($D$20,$A27*12,$D$18*-1)</f>
        <v>364926.3187952583</v>
      </c>
      <c r="D27" s="29">
        <f>C27*rendimento_carteira</f>
        <v>2189.55791277155</v>
      </c>
    </row>
    <row r="28" spans="1:4" x14ac:dyDescent="0.2">
      <c r="A28" s="1">
        <v>20</v>
      </c>
      <c r="B28" s="30" t="s">
        <v>9</v>
      </c>
      <c r="C28" s="31">
        <f>FV($D$20,$A28*12,$D$18*-1)</f>
        <v>1687797.600145621</v>
      </c>
      <c r="D28" s="29">
        <f>C28*rendimento_carteira</f>
        <v>10126.785600873725</v>
      </c>
    </row>
    <row r="29" spans="1:4" ht="17" thickBot="1" x14ac:dyDescent="0.25">
      <c r="A29" s="1">
        <v>30</v>
      </c>
      <c r="B29" s="32" t="s">
        <v>10</v>
      </c>
      <c r="C29" s="33">
        <f>FV($D$20,$A29*12,$D$18*-1)</f>
        <v>6483254.4825070715</v>
      </c>
      <c r="D29" s="34">
        <f>C29*rendimento_carteira</f>
        <v>38899.526895042429</v>
      </c>
    </row>
    <row r="31" spans="1:4" x14ac:dyDescent="0.2">
      <c r="B31" s="38" t="s">
        <v>20</v>
      </c>
      <c r="C31" s="39" t="s">
        <v>18</v>
      </c>
      <c r="D31" s="35"/>
    </row>
    <row r="32" spans="1:4" x14ac:dyDescent="0.2">
      <c r="B32" s="40" t="s">
        <v>19</v>
      </c>
      <c r="C32" s="41">
        <f>aporte</f>
        <v>1500</v>
      </c>
      <c r="D32" s="36"/>
    </row>
    <row r="34" spans="2:4" x14ac:dyDescent="0.2">
      <c r="B34" s="45" t="s">
        <v>21</v>
      </c>
      <c r="C34" s="45" t="s">
        <v>22</v>
      </c>
      <c r="D34" s="45" t="s">
        <v>23</v>
      </c>
    </row>
    <row r="35" spans="2:4" x14ac:dyDescent="0.2">
      <c r="B35" s="7" t="s">
        <v>24</v>
      </c>
      <c r="C35" s="2">
        <f>VLOOKUP($C$31&amp;"-"&amp;B35,APOIO!$A:$D,4,FALSE)</f>
        <v>0.32</v>
      </c>
      <c r="D35" s="37">
        <f>C35*$C$32</f>
        <v>480</v>
      </c>
    </row>
    <row r="36" spans="2:4" x14ac:dyDescent="0.2">
      <c r="B36" s="7" t="s">
        <v>25</v>
      </c>
      <c r="C36" s="2">
        <f>VLOOKUP($C$31&amp;"-"&amp;B36,APOIO!$A:$D,4,FALSE)</f>
        <v>0.35</v>
      </c>
      <c r="D36" s="37">
        <f t="shared" ref="D36:D40" si="0">C36*$C$32</f>
        <v>525</v>
      </c>
    </row>
    <row r="37" spans="2:4" x14ac:dyDescent="0.2">
      <c r="B37" s="7" t="s">
        <v>29</v>
      </c>
      <c r="C37" s="2">
        <f>VLOOKUP($C$31&amp;"-"&amp;B37,APOIO!$A:$D,4,FALSE)</f>
        <v>0.08</v>
      </c>
      <c r="D37" s="37">
        <f t="shared" si="0"/>
        <v>120</v>
      </c>
    </row>
    <row r="38" spans="2:4" x14ac:dyDescent="0.2">
      <c r="B38" s="7" t="s">
        <v>26</v>
      </c>
      <c r="C38" s="2">
        <f>VLOOKUP($C$31&amp;"-"&amp;B38,APOIO!$A:$D,4,FALSE)</f>
        <v>0.05</v>
      </c>
      <c r="D38" s="37">
        <f t="shared" si="0"/>
        <v>75</v>
      </c>
    </row>
    <row r="39" spans="2:4" x14ac:dyDescent="0.2">
      <c r="B39" s="7" t="s">
        <v>27</v>
      </c>
      <c r="C39" s="2">
        <f>VLOOKUP($C$31&amp;"-"&amp;B39,APOIO!$A:$D,4,FALSE)</f>
        <v>0.1</v>
      </c>
      <c r="D39" s="37">
        <f t="shared" si="0"/>
        <v>150</v>
      </c>
    </row>
    <row r="40" spans="2:4" x14ac:dyDescent="0.2">
      <c r="B40" s="7" t="s">
        <v>28</v>
      </c>
      <c r="C40" s="2">
        <f>VLOOKUP($C$31&amp;"-"&amp;B40,APOIO!$A:$D,4,FALSE)</f>
        <v>0.1</v>
      </c>
      <c r="D40" s="37">
        <f t="shared" si="0"/>
        <v>150</v>
      </c>
    </row>
    <row r="41" spans="2:4" x14ac:dyDescent="0.2">
      <c r="B41" s="46"/>
      <c r="C41" s="46"/>
      <c r="D41" s="47">
        <f>SUM(D35:D40)</f>
        <v>1500</v>
      </c>
    </row>
  </sheetData>
  <mergeCells count="11">
    <mergeCell ref="B13:C13"/>
    <mergeCell ref="B14:C14"/>
    <mergeCell ref="B15:C15"/>
    <mergeCell ref="B12:C12"/>
    <mergeCell ref="B17:C17"/>
    <mergeCell ref="B24:C24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1" xr:uid="{48BA463A-37CA-1741-B1B5-EDCA15D9242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5F20-907D-3F49-8B68-52F850A35BF9}">
  <dimension ref="A2:D20"/>
  <sheetViews>
    <sheetView workbookViewId="0">
      <selection activeCell="A2" sqref="A2:D2"/>
    </sheetView>
  </sheetViews>
  <sheetFormatPr baseColWidth="10" defaultRowHeight="16" x14ac:dyDescent="0.2"/>
  <cols>
    <col min="1" max="1" width="29" bestFit="1" customWidth="1"/>
    <col min="2" max="2" width="11.5" bestFit="1" customWidth="1"/>
    <col min="3" max="3" width="17.6640625" bestFit="1" customWidth="1"/>
    <col min="4" max="4" width="10.83203125" style="7"/>
  </cols>
  <sheetData>
    <row r="2" spans="1:4" x14ac:dyDescent="0.2">
      <c r="A2" s="48" t="s">
        <v>32</v>
      </c>
      <c r="B2" s="48" t="s">
        <v>20</v>
      </c>
      <c r="C2" s="49" t="s">
        <v>30</v>
      </c>
      <c r="D2" s="49" t="s">
        <v>31</v>
      </c>
    </row>
    <row r="3" spans="1:4" x14ac:dyDescent="0.2">
      <c r="A3" t="str">
        <f>B3&amp;"-"&amp;C3</f>
        <v>Conservador-PAPEL</v>
      </c>
      <c r="B3" t="s">
        <v>17</v>
      </c>
      <c r="C3" s="7" t="s">
        <v>24</v>
      </c>
      <c r="D3" s="2">
        <v>0.3</v>
      </c>
    </row>
    <row r="4" spans="1:4" x14ac:dyDescent="0.2">
      <c r="A4" t="str">
        <f t="shared" ref="A4:A20" si="0">B4&amp;"-"&amp;C4</f>
        <v>Conservador-TIJOLO</v>
      </c>
      <c r="B4" t="s">
        <v>17</v>
      </c>
      <c r="C4" s="7" t="s">
        <v>25</v>
      </c>
      <c r="D4" s="2">
        <v>0.5</v>
      </c>
    </row>
    <row r="5" spans="1:4" x14ac:dyDescent="0.2">
      <c r="A5" t="str">
        <f t="shared" si="0"/>
        <v>Conservador-HÍBRIDOS</v>
      </c>
      <c r="B5" t="s">
        <v>17</v>
      </c>
      <c r="C5" s="7" t="s">
        <v>29</v>
      </c>
      <c r="D5" s="2">
        <v>0.1</v>
      </c>
    </row>
    <row r="6" spans="1:4" x14ac:dyDescent="0.2">
      <c r="A6" t="str">
        <f t="shared" si="0"/>
        <v>Conservador-FOFs</v>
      </c>
      <c r="B6" t="s">
        <v>17</v>
      </c>
      <c r="C6" s="7" t="s">
        <v>26</v>
      </c>
      <c r="D6" s="2">
        <v>0.1</v>
      </c>
    </row>
    <row r="7" spans="1:4" x14ac:dyDescent="0.2">
      <c r="A7" t="str">
        <f t="shared" si="0"/>
        <v>Conservador-DESENVOLVIMENTO</v>
      </c>
      <c r="B7" t="s">
        <v>17</v>
      </c>
      <c r="C7" s="7" t="s">
        <v>27</v>
      </c>
      <c r="D7" s="2">
        <v>0</v>
      </c>
    </row>
    <row r="8" spans="1:4" ht="17" thickBot="1" x14ac:dyDescent="0.25">
      <c r="A8" s="42" t="str">
        <f t="shared" si="0"/>
        <v>Conservador-HOTELARIAS</v>
      </c>
      <c r="B8" s="42" t="s">
        <v>17</v>
      </c>
      <c r="C8" s="43" t="s">
        <v>28</v>
      </c>
      <c r="D8" s="44">
        <v>0</v>
      </c>
    </row>
    <row r="9" spans="1:4" x14ac:dyDescent="0.2">
      <c r="A9" t="str">
        <f t="shared" si="0"/>
        <v>Moderado-PAPEL</v>
      </c>
      <c r="B9" t="s">
        <v>18</v>
      </c>
      <c r="C9" s="7" t="s">
        <v>24</v>
      </c>
      <c r="D9" s="2">
        <v>0.32</v>
      </c>
    </row>
    <row r="10" spans="1:4" x14ac:dyDescent="0.2">
      <c r="A10" t="str">
        <f t="shared" si="0"/>
        <v>Moderado-TIJOLO</v>
      </c>
      <c r="B10" t="s">
        <v>18</v>
      </c>
      <c r="C10" s="7" t="s">
        <v>25</v>
      </c>
      <c r="D10" s="2">
        <v>0.35</v>
      </c>
    </row>
    <row r="11" spans="1:4" x14ac:dyDescent="0.2">
      <c r="A11" t="str">
        <f t="shared" si="0"/>
        <v>Moderado-HÍBRIDOS</v>
      </c>
      <c r="B11" t="s">
        <v>18</v>
      </c>
      <c r="C11" s="7" t="s">
        <v>29</v>
      </c>
      <c r="D11" s="2">
        <v>0.08</v>
      </c>
    </row>
    <row r="12" spans="1:4" x14ac:dyDescent="0.2">
      <c r="A12" t="str">
        <f t="shared" si="0"/>
        <v>Moderado-FOFs</v>
      </c>
      <c r="B12" t="s">
        <v>18</v>
      </c>
      <c r="C12" s="7" t="s">
        <v>26</v>
      </c>
      <c r="D12" s="2">
        <v>0.05</v>
      </c>
    </row>
    <row r="13" spans="1:4" x14ac:dyDescent="0.2">
      <c r="A13" t="str">
        <f t="shared" si="0"/>
        <v>Moderado-DESENVOLVIMENTO</v>
      </c>
      <c r="B13" t="s">
        <v>18</v>
      </c>
      <c r="C13" s="7" t="s">
        <v>27</v>
      </c>
      <c r="D13" s="2">
        <v>0.1</v>
      </c>
    </row>
    <row r="14" spans="1:4" ht="17" thickBot="1" x14ac:dyDescent="0.25">
      <c r="A14" s="42" t="str">
        <f t="shared" si="0"/>
        <v>Moderado-HOTELARIAS</v>
      </c>
      <c r="B14" s="42" t="s">
        <v>18</v>
      </c>
      <c r="C14" s="43" t="s">
        <v>28</v>
      </c>
      <c r="D14" s="44">
        <v>0.1</v>
      </c>
    </row>
    <row r="15" spans="1:4" x14ac:dyDescent="0.2">
      <c r="A15" t="str">
        <f t="shared" si="0"/>
        <v>Agressivo-PAPEL</v>
      </c>
      <c r="B15" t="s">
        <v>16</v>
      </c>
      <c r="C15" s="7" t="s">
        <v>24</v>
      </c>
      <c r="D15" s="2">
        <v>0.5</v>
      </c>
    </row>
    <row r="16" spans="1:4" x14ac:dyDescent="0.2">
      <c r="A16" t="str">
        <f t="shared" si="0"/>
        <v>Agressivo-TIJOLO</v>
      </c>
      <c r="B16" t="s">
        <v>16</v>
      </c>
      <c r="C16" s="7" t="s">
        <v>25</v>
      </c>
      <c r="D16" s="2">
        <v>0.1</v>
      </c>
    </row>
    <row r="17" spans="1:4" x14ac:dyDescent="0.2">
      <c r="A17" t="str">
        <f t="shared" si="0"/>
        <v>Agressivo-HÍBRIDOS</v>
      </c>
      <c r="B17" t="s">
        <v>16</v>
      </c>
      <c r="C17" s="7" t="s">
        <v>29</v>
      </c>
      <c r="D17" s="2">
        <v>0.05</v>
      </c>
    </row>
    <row r="18" spans="1:4" x14ac:dyDescent="0.2">
      <c r="A18" t="str">
        <f t="shared" si="0"/>
        <v>Agressivo-FOFs</v>
      </c>
      <c r="B18" t="s">
        <v>16</v>
      </c>
      <c r="C18" s="7" t="s">
        <v>26</v>
      </c>
      <c r="D18" s="2">
        <v>0.05</v>
      </c>
    </row>
    <row r="19" spans="1:4" x14ac:dyDescent="0.2">
      <c r="A19" t="str">
        <f t="shared" si="0"/>
        <v>Agressivo-DESENVOLVIMENTO</v>
      </c>
      <c r="B19" t="s">
        <v>16</v>
      </c>
      <c r="C19" s="7" t="s">
        <v>27</v>
      </c>
      <c r="D19" s="2">
        <v>0.2</v>
      </c>
    </row>
    <row r="20" spans="1:4" x14ac:dyDescent="0.2">
      <c r="A20" t="str">
        <f t="shared" si="0"/>
        <v>Agressivo-HOTELARIAS</v>
      </c>
      <c r="B20" t="s">
        <v>16</v>
      </c>
      <c r="C20" s="7" t="s">
        <v>28</v>
      </c>
      <c r="D20" s="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Calogeras</dc:creator>
  <cp:lastModifiedBy>Leonardo Calogeras</cp:lastModifiedBy>
  <dcterms:created xsi:type="dcterms:W3CDTF">2026-09-09T20:27:47Z</dcterms:created>
  <dcterms:modified xsi:type="dcterms:W3CDTF">2026-09-09T22:51:37Z</dcterms:modified>
</cp:coreProperties>
</file>